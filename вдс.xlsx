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" yWindow="120" windowWidth="14130" windowHeight="5138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M4" i="1"/>
  <c r="M5" i="1"/>
  <c r="M6" i="1"/>
  <c r="M7" i="1"/>
  <c r="M8" i="1"/>
  <c r="M9" i="1"/>
  <c r="L4" i="1"/>
  <c r="L5" i="1"/>
  <c r="L6" i="1"/>
  <c r="L7" i="1"/>
  <c r="L8" i="1"/>
  <c r="L9" i="1"/>
  <c r="K4" i="1"/>
  <c r="K5" i="1"/>
  <c r="K6" i="1"/>
  <c r="K7" i="1"/>
  <c r="K8" i="1"/>
  <c r="K9" i="1"/>
  <c r="J4" i="1"/>
  <c r="J5" i="1"/>
  <c r="J6" i="1"/>
  <c r="J7" i="1"/>
  <c r="J8" i="1"/>
  <c r="J9" i="1"/>
  <c r="I4" i="1"/>
  <c r="I5" i="1"/>
  <c r="I6" i="1"/>
  <c r="I7" i="1"/>
  <c r="I8" i="1"/>
  <c r="I9" i="1"/>
  <c r="J3" i="1"/>
  <c r="K3" i="1"/>
  <c r="L3" i="1"/>
  <c r="M3" i="1"/>
  <c r="N3" i="1"/>
  <c r="I3" i="1"/>
</calcChain>
</file>

<file path=xl/sharedStrings.xml><?xml version="1.0" encoding="utf-8"?>
<sst xmlns="http://schemas.openxmlformats.org/spreadsheetml/2006/main" count="40" uniqueCount="14">
  <si>
    <t>Сельское, лесное хозяйство, охота, рыболовство 
и рыбоводство</t>
  </si>
  <si>
    <t>Добыча полезных ископаемых</t>
  </si>
  <si>
    <t>Обрабатывающие производства</t>
  </si>
  <si>
    <t>Обеспечение электрической энергией, газом 
и паром; кондиционирование воздуха</t>
  </si>
  <si>
    <t>Уральский 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</si>
  <si>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</si>
  <si>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</si>
  <si>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</si>
  <si>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– Югра</t>
  </si>
  <si>
    <t>Ямало-Ненецкий автономный округ</t>
  </si>
  <si>
    <t>Тюменская область без автономных округов</t>
  </si>
  <si>
    <t>Челябинская область</t>
  </si>
  <si>
    <t>Торговля оптовая 
и розничная; ремонт автотранспортных средств 
и мотоциклов</t>
  </si>
  <si>
    <t>Транспортировка 
и хранение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</si>
</sst>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0.0"/>
  </numFmts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169" fontId="0" fillId="3" borderId="1" xfId="0" applyNumberFormat="1" applyFill="1" applyBorder="1"/>
    <xf numFmtId="169" fontId="0" fillId="2" borderId="1" xfId="0" applyNumberFormat="1" applyFill="1" applyBorder="1"/>
    <xf numFmtId="169" fontId="0" fillId="0" borderId="1" xfId="0" applyNumberForma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tabSelected="1" topLeftCell="A2" workbookViewId="0">
      <selection activeCell="K7" sqref="K7"/>
    </sheetView>
  </sheetViews>
  <sheetFormatPr defaultRowHeight="14.25" x14ac:dyDescent="0.45"/>
  <cols>
    <col min="8" max="8" width="39.06640625" bestFit="1" customWidth="1"/>
  </cols>
  <sheetData>
    <row r="1" spans="1:20" ht="156.75" x14ac:dyDescent="0.45">
      <c r="A1">
        <v>2021</v>
      </c>
      <c r="B1" s="1" t="s">
        <v>0</v>
      </c>
      <c r="C1" t="s">
        <v>1</v>
      </c>
      <c r="D1" t="s">
        <v>2</v>
      </c>
      <c r="E1" s="1" t="s">
        <v>3</v>
      </c>
      <c r="F1" s="1" t="s">
        <v>12</v>
      </c>
      <c r="G1" s="1" t="s">
        <v>13</v>
      </c>
      <c r="H1" s="1"/>
    </row>
    <row r="2" spans="1:20" ht="156.75" x14ac:dyDescent="0.45">
      <c r="A2">
        <v>2021</v>
      </c>
      <c r="B2" s="1"/>
      <c r="E2" s="1"/>
      <c r="F2" s="1"/>
      <c r="G2" s="1"/>
      <c r="H2" s="1"/>
      <c r="I2" s="1" t="s">
        <v>0</v>
      </c>
      <c r="J2" s="1" t="s">
        <v>1</v>
      </c>
      <c r="K2" s="1" t="s">
        <v>2</v>
      </c>
      <c r="L2" s="1" t="s">
        <v>3</v>
      </c>
      <c r="M2" s="1" t="s">
        <v>12</v>
      </c>
      <c r="N2" s="1" t="s">
        <v>13</v>
      </c>
    </row>
    <row r="3" spans="1:20" x14ac:dyDescent="0.45">
      <c r="A3" t="s">
        <v>4</v>
      </c>
      <c r="B3">
        <v>1.5</v>
      </c>
      <c r="C3">
        <v>46.6</v>
      </c>
      <c r="D3">
        <v>14.8</v>
      </c>
      <c r="E3">
        <v>2</v>
      </c>
      <c r="F3">
        <v>5.9</v>
      </c>
      <c r="G3">
        <v>5</v>
      </c>
      <c r="H3" t="s">
        <v>4</v>
      </c>
      <c r="I3" s="3">
        <f>B11/B3 *100</f>
        <v>140</v>
      </c>
      <c r="J3" s="4">
        <f>C11/C3 *100</f>
        <v>74.892703862660937</v>
      </c>
      <c r="K3" s="4">
        <f>D11/D3 *100</f>
        <v>94.594594594594597</v>
      </c>
      <c r="L3" s="3">
        <f>E11/E3 *100</f>
        <v>150</v>
      </c>
      <c r="M3" s="3">
        <f>F11/F3 *100</f>
        <v>166.10169491525423</v>
      </c>
      <c r="N3" s="3">
        <f t="shared" ref="N3:N9" si="0">G11/G3 *100</f>
        <v>148</v>
      </c>
    </row>
    <row r="4" spans="1:20" x14ac:dyDescent="0.45">
      <c r="A4" t="s">
        <v>5</v>
      </c>
      <c r="B4">
        <v>9.6999999999999993</v>
      </c>
      <c r="C4">
        <v>0.8</v>
      </c>
      <c r="D4">
        <v>21.6</v>
      </c>
      <c r="E4">
        <v>4.2</v>
      </c>
      <c r="F4">
        <v>8.8000000000000007</v>
      </c>
      <c r="G4">
        <v>9.6999999999999993</v>
      </c>
      <c r="H4" t="s">
        <v>5</v>
      </c>
      <c r="I4" s="3">
        <f t="shared" ref="I4:I9" si="1">B12/B4 *100</f>
        <v>118.55670103092784</v>
      </c>
      <c r="J4" s="3">
        <f>C12/C4 *100</f>
        <v>137.5</v>
      </c>
      <c r="K4" s="3">
        <f>D12/D4 *100</f>
        <v>101.85185185185183</v>
      </c>
      <c r="L4" s="3">
        <f>E12/E4 *100</f>
        <v>185.71428571428569</v>
      </c>
      <c r="M4" s="3">
        <f>F12/F4 *100</f>
        <v>113.63636363636363</v>
      </c>
      <c r="N4" s="3">
        <f t="shared" si="0"/>
        <v>104.1237113402062</v>
      </c>
    </row>
    <row r="5" spans="1:20" x14ac:dyDescent="0.45">
      <c r="A5" t="s">
        <v>6</v>
      </c>
      <c r="B5">
        <v>2.2999999999999998</v>
      </c>
      <c r="C5">
        <v>3</v>
      </c>
      <c r="D5">
        <v>31.7</v>
      </c>
      <c r="E5">
        <v>3</v>
      </c>
      <c r="F5">
        <v>15.8</v>
      </c>
      <c r="G5">
        <v>5.9</v>
      </c>
      <c r="H5" t="s">
        <v>6</v>
      </c>
      <c r="I5" s="5">
        <f t="shared" si="1"/>
        <v>100</v>
      </c>
      <c r="J5" s="4">
        <f>C13/C5 *100</f>
        <v>46.666666666666664</v>
      </c>
      <c r="K5" s="4">
        <f>D13/D5 *100</f>
        <v>96.214511041009459</v>
      </c>
      <c r="L5" s="3">
        <f>E13/E5 *100</f>
        <v>113.33333333333333</v>
      </c>
      <c r="M5" s="3">
        <f>F13/F5 *100</f>
        <v>121.51898734177213</v>
      </c>
      <c r="N5" s="3">
        <f t="shared" si="0"/>
        <v>144.06779661016949</v>
      </c>
    </row>
    <row r="6" spans="1:20" x14ac:dyDescent="0.45">
      <c r="A6" t="s">
        <v>7</v>
      </c>
      <c r="B6">
        <v>0.6</v>
      </c>
      <c r="C6">
        <v>66.7</v>
      </c>
      <c r="D6">
        <v>6.1</v>
      </c>
      <c r="E6">
        <v>1.6</v>
      </c>
      <c r="F6">
        <v>2.6</v>
      </c>
      <c r="G6">
        <v>4.5</v>
      </c>
      <c r="H6" t="s">
        <v>7</v>
      </c>
      <c r="I6" s="3">
        <f t="shared" si="1"/>
        <v>133.33333333333334</v>
      </c>
      <c r="J6" s="4">
        <f>C14/C6 *100</f>
        <v>81.259370314842585</v>
      </c>
      <c r="K6" s="4">
        <f>D14/D6 *100</f>
        <v>63.934426229508205</v>
      </c>
      <c r="L6" s="3">
        <f>E14/E6 *100</f>
        <v>162.5</v>
      </c>
      <c r="M6" s="3">
        <f>F14/F6 *100</f>
        <v>234.61538461538458</v>
      </c>
      <c r="N6" s="3">
        <f t="shared" si="0"/>
        <v>155.55555555555557</v>
      </c>
    </row>
    <row r="7" spans="1:20" x14ac:dyDescent="0.45">
      <c r="A7" t="s">
        <v>8</v>
      </c>
      <c r="B7">
        <v>0.2</v>
      </c>
      <c r="C7">
        <v>75</v>
      </c>
      <c r="D7">
        <v>1.5</v>
      </c>
      <c r="E7">
        <v>1.8</v>
      </c>
      <c r="F7">
        <v>2</v>
      </c>
      <c r="G7">
        <v>4.2</v>
      </c>
      <c r="H7" t="s">
        <v>8</v>
      </c>
      <c r="I7" s="3">
        <f t="shared" si="1"/>
        <v>149.99999999999997</v>
      </c>
      <c r="J7" s="4">
        <f>C15/C7 *100</f>
        <v>86.799999999999983</v>
      </c>
      <c r="K7" s="3">
        <f>D15/D7 *100</f>
        <v>153.33333333333331</v>
      </c>
      <c r="L7" s="3">
        <f>E15/E7 *100</f>
        <v>166.66666666666666</v>
      </c>
      <c r="M7" s="3">
        <f>F15/F7 *100</f>
        <v>140</v>
      </c>
      <c r="N7" s="3">
        <f t="shared" si="0"/>
        <v>161.9047619047619</v>
      </c>
    </row>
    <row r="8" spans="1:20" x14ac:dyDescent="0.45">
      <c r="A8" t="s">
        <v>9</v>
      </c>
      <c r="B8">
        <v>0.1</v>
      </c>
      <c r="C8">
        <v>73.900000000000006</v>
      </c>
      <c r="D8">
        <v>5.2</v>
      </c>
      <c r="E8">
        <v>0.9</v>
      </c>
      <c r="F8">
        <v>1</v>
      </c>
      <c r="G8">
        <v>3.3</v>
      </c>
      <c r="H8" t="s">
        <v>9</v>
      </c>
      <c r="I8" s="5">
        <f t="shared" si="1"/>
        <v>100</v>
      </c>
      <c r="J8" s="4">
        <f>C16/C8 *100</f>
        <v>75.642760487144784</v>
      </c>
      <c r="K8" s="4">
        <f>D16/D8 *100</f>
        <v>34.615384615384613</v>
      </c>
      <c r="L8" s="3">
        <f>E16/E8 *100</f>
        <v>211.11111111111111</v>
      </c>
      <c r="M8" s="3">
        <f>F16/F8 *100</f>
        <v>690</v>
      </c>
      <c r="N8" s="3">
        <f t="shared" si="0"/>
        <v>175.75757575757575</v>
      </c>
    </row>
    <row r="9" spans="1:20" x14ac:dyDescent="0.45">
      <c r="A9" t="s">
        <v>11</v>
      </c>
      <c r="B9">
        <v>4.0999999999999996</v>
      </c>
      <c r="C9">
        <v>6.5</v>
      </c>
      <c r="D9">
        <v>37.200000000000003</v>
      </c>
      <c r="E9">
        <v>2.2999999999999998</v>
      </c>
      <c r="F9">
        <v>9.4</v>
      </c>
      <c r="G9">
        <v>6.1</v>
      </c>
      <c r="H9" t="s">
        <v>11</v>
      </c>
      <c r="I9" s="3">
        <f t="shared" si="1"/>
        <v>153.65853658536585</v>
      </c>
      <c r="J9" s="4">
        <f>C17/C9 *100</f>
        <v>35.38461538461538</v>
      </c>
      <c r="K9" s="4">
        <f>D17/D9 *100</f>
        <v>94.086021505376337</v>
      </c>
      <c r="L9" s="3">
        <f>E17/E9 *100</f>
        <v>156.52173913043478</v>
      </c>
      <c r="M9" s="3">
        <f>F17/F9 *100</f>
        <v>130.85106382978725</v>
      </c>
      <c r="N9" s="3">
        <f t="shared" si="0"/>
        <v>113.11475409836066</v>
      </c>
    </row>
    <row r="10" spans="1:20" ht="156.75" x14ac:dyDescent="0.45">
      <c r="A10">
        <v>2016</v>
      </c>
      <c r="B10" s="1" t="s">
        <v>0</v>
      </c>
      <c r="C10" t="s">
        <v>1</v>
      </c>
      <c r="D10" t="s">
        <v>2</v>
      </c>
      <c r="E10" s="1" t="s">
        <v>3</v>
      </c>
      <c r="F10" s="1" t="s">
        <v>12</v>
      </c>
      <c r="G10" s="1" t="s">
        <v>13</v>
      </c>
      <c r="H10" s="1"/>
      <c r="I10" s="6"/>
      <c r="J10" s="6"/>
      <c r="K10" s="6"/>
      <c r="L10" s="6"/>
      <c r="M10" s="6"/>
      <c r="N10" s="6"/>
    </row>
    <row r="11" spans="1:20" x14ac:dyDescent="0.45">
      <c r="A11" t="s">
        <v>4</v>
      </c>
      <c r="B11">
        <v>2.1</v>
      </c>
      <c r="C11">
        <v>34.9</v>
      </c>
      <c r="D11">
        <v>14</v>
      </c>
      <c r="E11">
        <v>3</v>
      </c>
      <c r="F11">
        <v>9.8000000000000007</v>
      </c>
      <c r="G11">
        <v>7.4</v>
      </c>
    </row>
    <row r="12" spans="1:20" x14ac:dyDescent="0.45">
      <c r="A12" t="s">
        <v>5</v>
      </c>
      <c r="B12" s="2">
        <v>11.5</v>
      </c>
      <c r="C12">
        <v>1.1000000000000001</v>
      </c>
      <c r="D12">
        <v>22</v>
      </c>
      <c r="E12">
        <v>7.8</v>
      </c>
      <c r="F12">
        <v>10</v>
      </c>
      <c r="G12">
        <v>10.1</v>
      </c>
    </row>
    <row r="13" spans="1:20" x14ac:dyDescent="0.45">
      <c r="A13" t="s">
        <v>6</v>
      </c>
      <c r="B13" s="2">
        <v>2.2999999999999998</v>
      </c>
      <c r="C13">
        <v>1.4</v>
      </c>
      <c r="D13">
        <v>30.5</v>
      </c>
      <c r="E13">
        <v>3.4</v>
      </c>
      <c r="F13">
        <v>19.2</v>
      </c>
      <c r="G13">
        <v>8.5</v>
      </c>
    </row>
    <row r="14" spans="1:20" x14ac:dyDescent="0.45">
      <c r="A14" t="s">
        <v>7</v>
      </c>
      <c r="B14" s="2">
        <v>0.8</v>
      </c>
      <c r="C14">
        <v>54.2</v>
      </c>
      <c r="D14">
        <v>3.9</v>
      </c>
      <c r="E14">
        <v>2.6</v>
      </c>
      <c r="F14">
        <v>6.1</v>
      </c>
      <c r="G14">
        <v>7</v>
      </c>
    </row>
    <row r="15" spans="1:20" x14ac:dyDescent="0.45">
      <c r="A15" t="s">
        <v>8</v>
      </c>
      <c r="B15">
        <v>0.3</v>
      </c>
      <c r="C15">
        <v>65.099999999999994</v>
      </c>
      <c r="D15">
        <v>2.2999999999999998</v>
      </c>
      <c r="E15">
        <v>3</v>
      </c>
      <c r="F15">
        <v>2.8</v>
      </c>
      <c r="G15">
        <v>6.8</v>
      </c>
    </row>
    <row r="16" spans="1:20" x14ac:dyDescent="0.45">
      <c r="A16" t="s">
        <v>9</v>
      </c>
      <c r="B16">
        <v>0.1</v>
      </c>
      <c r="C16">
        <v>55.9</v>
      </c>
      <c r="D16">
        <v>1.8</v>
      </c>
      <c r="E16">
        <v>1.9</v>
      </c>
      <c r="F16">
        <v>6.9</v>
      </c>
      <c r="G16">
        <v>5.8</v>
      </c>
      <c r="M16" t="s">
        <v>10</v>
      </c>
      <c r="N16">
        <v>100</v>
      </c>
      <c r="O16">
        <v>3.2</v>
      </c>
      <c r="P16">
        <v>17.100000000000001</v>
      </c>
      <c r="Q16">
        <v>24.9</v>
      </c>
      <c r="R16">
        <v>2.4</v>
      </c>
      <c r="S16">
        <v>9.1</v>
      </c>
      <c r="T16">
        <v>8.5</v>
      </c>
    </row>
    <row r="17" spans="1:7" x14ac:dyDescent="0.45">
      <c r="A17" t="s">
        <v>11</v>
      </c>
      <c r="B17">
        <v>6.3</v>
      </c>
      <c r="C17">
        <v>2.2999999999999998</v>
      </c>
      <c r="D17">
        <v>35</v>
      </c>
      <c r="E17">
        <v>3.6</v>
      </c>
      <c r="F17">
        <v>12.3</v>
      </c>
      <c r="G17">
        <v>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2024-11-20T09:05:30Z</dcterms:created>
  <dcterms:modified xsi:type="dcterms:W3CDTF">2024-11-20T09:50:00Z</dcterms:modified>
</cp:coreProperties>
</file>